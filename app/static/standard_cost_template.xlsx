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공정목록" sheetId="2" state="visible" r:id="rId2"/>
    <sheet name="공정별원가입력" sheetId="3" state="visible" r:id="rId3"/>
    <sheet name="표준원가집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1F4E79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FFFACD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4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3" fontId="4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3" fontId="5" fillId="6" borderId="2" applyAlignment="1" pivotButton="0" quotePrefix="0" xfId="0">
      <alignment horizontal="right" vertical="center"/>
    </xf>
    <xf numFmtId="4" fontId="5" fillId="6" borderId="2" applyAlignment="1" pivotButton="0" quotePrefix="0" xfId="0">
      <alignment horizontal="right" vertical="center"/>
    </xf>
    <xf numFmtId="4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18" customWidth="1" min="5" max="5"/>
    <col width="18" customWidth="1" min="6" max="6"/>
    <col width="6" customWidth="1" min="7" max="7"/>
    <col width="10" customWidth="1" min="8" max="8"/>
    <col width="14" customWidth="1" min="9" max="9"/>
    <col width="14" customWidth="1" min="10" max="10"/>
    <col width="16" customWidth="1" min="11" max="11"/>
  </cols>
  <sheetData>
    <row r="1" ht="32" customHeight="1">
      <c r="A1" s="1" t="inlineStr">
        <is>
          <t>BOM (자재명세서) — 구매부서 입력</t>
        </is>
      </c>
    </row>
    <row r="2" ht="20" customHeight="1">
      <c r="A2" s="2" t="inlineStr">
        <is>
          <t xml:space="preserve">  ※ 작성 안내: 자재코드, 자재명, 규격, 단위, 소요수량, 표준단가를 입력하세요. 재료비소계(연노랑)는 소요수량×표준단가로 자동 계산됩니다.</t>
        </is>
      </c>
    </row>
    <row r="3" ht="6" customHeight="1"/>
    <row r="4" ht="28" customHeight="1">
      <c r="A4" s="3" t="inlineStr">
        <is>
          <t>순번</t>
        </is>
      </c>
      <c r="B4" s="3" t="inlineStr">
        <is>
          <t>제품코드</t>
        </is>
      </c>
      <c r="C4" s="3" t="inlineStr">
        <is>
          <t>제품명</t>
        </is>
      </c>
      <c r="D4" s="3" t="inlineStr">
        <is>
          <t>자재코드</t>
        </is>
      </c>
      <c r="E4" s="3" t="inlineStr">
        <is>
          <t>자재명</t>
        </is>
      </c>
      <c r="F4" s="3" t="inlineStr">
        <is>
          <t>규격</t>
        </is>
      </c>
      <c r="G4" s="3" t="inlineStr">
        <is>
          <t>단위</t>
        </is>
      </c>
      <c r="H4" s="3" t="inlineStr">
        <is>
          <t>소요수량</t>
        </is>
      </c>
      <c r="I4" s="3" t="inlineStr">
        <is>
          <t>표준단가(원)</t>
        </is>
      </c>
      <c r="J4" s="3" t="inlineStr">
        <is>
          <t>재료비소계(원)</t>
        </is>
      </c>
      <c r="K4" s="3" t="inlineStr">
        <is>
          <t>비고</t>
        </is>
      </c>
    </row>
    <row r="5" ht="18" customHeight="1">
      <c r="A5" s="4" t="n">
        <v>1</v>
      </c>
      <c r="B5" s="4" t="inlineStr">
        <is>
          <t>P-001</t>
        </is>
      </c>
      <c r="C5" s="5" t="inlineStr">
        <is>
          <t>제품A</t>
        </is>
      </c>
      <c r="D5" s="4" t="inlineStr">
        <is>
          <t>M-001</t>
        </is>
      </c>
      <c r="E5" s="5" t="inlineStr">
        <is>
          <t>철판 SS400</t>
        </is>
      </c>
      <c r="F5" s="5" t="inlineStr">
        <is>
          <t>2.0T×1000×2000</t>
        </is>
      </c>
      <c r="G5" s="4" t="inlineStr">
        <is>
          <t>장</t>
        </is>
      </c>
      <c r="H5" s="6" t="n">
        <v>2</v>
      </c>
      <c r="I5" s="7" t="n">
        <v>45000</v>
      </c>
      <c r="J5" s="8">
        <f>H5*I5</f>
        <v/>
      </c>
      <c r="K5" s="5" t="inlineStr"/>
    </row>
    <row r="6" ht="18" customHeight="1">
      <c r="A6" s="4" t="n">
        <v>2</v>
      </c>
      <c r="B6" s="4" t="inlineStr">
        <is>
          <t>P-001</t>
        </is>
      </c>
      <c r="C6" s="5" t="inlineStr">
        <is>
          <t>제품A</t>
        </is>
      </c>
      <c r="D6" s="4" t="inlineStr">
        <is>
          <t>M-002</t>
        </is>
      </c>
      <c r="E6" s="5" t="inlineStr">
        <is>
          <t>볼트 M10×30</t>
        </is>
      </c>
      <c r="F6" s="5" t="inlineStr">
        <is>
          <t>M10 L30</t>
        </is>
      </c>
      <c r="G6" s="4" t="inlineStr">
        <is>
          <t>개</t>
        </is>
      </c>
      <c r="H6" s="6" t="n">
        <v>8</v>
      </c>
      <c r="I6" s="7" t="n">
        <v>350</v>
      </c>
      <c r="J6" s="8">
        <f>H6*I6</f>
        <v/>
      </c>
      <c r="K6" s="5" t="inlineStr"/>
    </row>
    <row r="7" ht="18" customHeight="1">
      <c r="A7" s="4" t="n">
        <v>3</v>
      </c>
      <c r="B7" s="4" t="inlineStr">
        <is>
          <t>P-002</t>
        </is>
      </c>
      <c r="C7" s="5" t="inlineStr">
        <is>
          <t>제품B</t>
        </is>
      </c>
      <c r="D7" s="4" t="inlineStr">
        <is>
          <t>M-003</t>
        </is>
      </c>
      <c r="E7" s="5" t="inlineStr">
        <is>
          <t>알루미늄 6063</t>
        </is>
      </c>
      <c r="F7" s="5" t="inlineStr">
        <is>
          <t>T5×50×3000</t>
        </is>
      </c>
      <c r="G7" s="4" t="inlineStr">
        <is>
          <t>m</t>
        </is>
      </c>
      <c r="H7" s="6" t="n">
        <v>5</v>
      </c>
      <c r="I7" s="7" t="n">
        <v>12000</v>
      </c>
      <c r="J7" s="8">
        <f>H7*I7</f>
        <v/>
      </c>
      <c r="K7" s="5" t="inlineStr"/>
    </row>
    <row r="8" ht="22" customHeight="1">
      <c r="A8" s="9" t="inlineStr">
        <is>
          <t>합  계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1">
        <f>SUM(J5:J7)</f>
        <v/>
      </c>
      <c r="K8" s="10" t="n"/>
    </row>
  </sheetData>
  <mergeCells count="3">
    <mergeCell ref="A2:K2"/>
    <mergeCell ref="A1:K1"/>
    <mergeCell ref="A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36" customWidth="1" min="5" max="5"/>
    <col width="16" customWidth="1" min="6" max="6"/>
  </cols>
  <sheetData>
    <row r="1" ht="32" customHeight="1">
      <c r="A1" s="1" t="inlineStr">
        <is>
          <t>공정목록 — 생산관리팀 관리</t>
        </is>
      </c>
    </row>
    <row r="2" ht="20" customHeight="1">
      <c r="A2" s="2" t="inlineStr">
        <is>
          <t xml:space="preserve">  ※ 작성 안내: 공정번호, 공정명, 담당부서, 공정설명을 등록하세요. 공정별원가입력 시트에서 참조됩니다.</t>
        </is>
      </c>
    </row>
    <row r="3" ht="6" customHeight="1"/>
    <row r="4" ht="28" customHeight="1">
      <c r="A4" s="3" t="inlineStr">
        <is>
          <t>순번</t>
        </is>
      </c>
      <c r="B4" s="3" t="inlineStr">
        <is>
          <t>공정번호</t>
        </is>
      </c>
      <c r="C4" s="3" t="inlineStr">
        <is>
          <t>공정명</t>
        </is>
      </c>
      <c r="D4" s="3" t="inlineStr">
        <is>
          <t>담당부서</t>
        </is>
      </c>
      <c r="E4" s="3" t="inlineStr">
        <is>
          <t>공정설명</t>
        </is>
      </c>
      <c r="F4" s="3" t="inlineStr">
        <is>
          <t>비고</t>
        </is>
      </c>
    </row>
    <row r="5" ht="18" customHeight="1">
      <c r="A5" s="4" t="n">
        <v>1</v>
      </c>
      <c r="B5" s="4" t="inlineStr">
        <is>
          <t>PR-10</t>
        </is>
      </c>
      <c r="C5" s="5" t="inlineStr">
        <is>
          <t>원자재투입</t>
        </is>
      </c>
      <c r="D5" s="4" t="inlineStr">
        <is>
          <t>자재창고</t>
        </is>
      </c>
      <c r="E5" s="5" t="inlineStr">
        <is>
          <t>원자재 규격 확인 및 생산라인 투입</t>
        </is>
      </c>
      <c r="F5" s="5" t="inlineStr"/>
    </row>
    <row r="6" ht="18" customHeight="1">
      <c r="A6" s="4" t="n">
        <v>2</v>
      </c>
      <c r="B6" s="4" t="inlineStr">
        <is>
          <t>PR-20</t>
        </is>
      </c>
      <c r="C6" s="5" t="inlineStr">
        <is>
          <t>가공</t>
        </is>
      </c>
      <c r="D6" s="4" t="inlineStr">
        <is>
          <t>가공1팀</t>
        </is>
      </c>
      <c r="E6" s="5" t="inlineStr">
        <is>
          <t>CNC 가공 및 프레스 성형</t>
        </is>
      </c>
      <c r="F6" s="5" t="inlineStr"/>
    </row>
    <row r="7" ht="18" customHeight="1">
      <c r="A7" s="4" t="n">
        <v>3</v>
      </c>
      <c r="B7" s="4" t="inlineStr">
        <is>
          <t>PR-30</t>
        </is>
      </c>
      <c r="C7" s="5" t="inlineStr">
        <is>
          <t>조립</t>
        </is>
      </c>
      <c r="D7" s="4" t="inlineStr">
        <is>
          <t>조립팀</t>
        </is>
      </c>
      <c r="E7" s="5" t="inlineStr">
        <is>
          <t>부품 조립 및 체결</t>
        </is>
      </c>
      <c r="F7" s="5" t="inlineStr"/>
    </row>
    <row r="8" ht="18" customHeight="1">
      <c r="A8" s="4" t="n">
        <v>4</v>
      </c>
      <c r="B8" s="4" t="inlineStr">
        <is>
          <t>PR-40</t>
        </is>
      </c>
      <c r="C8" s="5" t="inlineStr">
        <is>
          <t>검사</t>
        </is>
      </c>
      <c r="D8" s="4" t="inlineStr">
        <is>
          <t>품질관리팀</t>
        </is>
      </c>
      <c r="E8" s="5" t="inlineStr">
        <is>
          <t>치수 검사 및 외관 검사</t>
        </is>
      </c>
      <c r="F8" s="5" t="inlineStr"/>
    </row>
    <row r="9" ht="18" customHeight="1">
      <c r="A9" s="4" t="n">
        <v>5</v>
      </c>
      <c r="B9" s="4" t="inlineStr">
        <is>
          <t>PR-50</t>
        </is>
      </c>
      <c r="C9" s="5" t="inlineStr">
        <is>
          <t>포장</t>
        </is>
      </c>
      <c r="D9" s="4" t="inlineStr">
        <is>
          <t>포장팀</t>
        </is>
      </c>
      <c r="E9" s="5" t="inlineStr">
        <is>
          <t>완제품 포장 및 라벨링</t>
        </is>
      </c>
      <c r="F9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1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 ht="32" customHeight="1">
      <c r="A1" s="1" t="inlineStr">
        <is>
          <t>공정별 원가 입력 — 생산부서 입력</t>
        </is>
      </c>
    </row>
    <row r="2" ht="20" customHeight="1">
      <c r="A2" s="2" t="inlineStr">
        <is>
          <t xml:space="preserve">  ※ 작성 안내: 직접재료비, 작업시간, 시간당임률, 제조간접비를 입력하세요. 직접노무비(=작업시간×시간당임률)·공정원가합계는 자동 계산됩니다.</t>
        </is>
      </c>
    </row>
    <row r="3" ht="6" customHeight="1"/>
    <row r="4" ht="28" customHeight="1">
      <c r="A4" s="3" t="inlineStr">
        <is>
          <t>순번</t>
        </is>
      </c>
      <c r="B4" s="3" t="inlineStr">
        <is>
          <t>제품코드</t>
        </is>
      </c>
      <c r="C4" s="3" t="inlineStr">
        <is>
          <t>제품명</t>
        </is>
      </c>
      <c r="D4" s="3" t="inlineStr">
        <is>
          <t>공정번호</t>
        </is>
      </c>
      <c r="E4" s="3" t="inlineStr">
        <is>
          <t>공정명</t>
        </is>
      </c>
      <c r="F4" s="3" t="inlineStr">
        <is>
          <t>직접재료비(원)</t>
        </is>
      </c>
      <c r="G4" s="3" t="inlineStr">
        <is>
          <t>작업시간(H)</t>
        </is>
      </c>
      <c r="H4" s="3" t="inlineStr">
        <is>
          <t>시간당임률(원)</t>
        </is>
      </c>
      <c r="I4" s="3" t="inlineStr">
        <is>
          <t>직접노무비(원)</t>
        </is>
      </c>
      <c r="J4" s="3" t="inlineStr">
        <is>
          <t>제조간접비(원)</t>
        </is>
      </c>
      <c r="K4" s="3" t="inlineStr">
        <is>
          <t>공정원가합계(원)</t>
        </is>
      </c>
      <c r="L4" s="3" t="inlineStr">
        <is>
          <t>비고</t>
        </is>
      </c>
    </row>
    <row r="5" ht="18" customHeight="1">
      <c r="A5" s="4" t="n">
        <v>1</v>
      </c>
      <c r="B5" s="4" t="inlineStr">
        <is>
          <t>P-001</t>
        </is>
      </c>
      <c r="C5" s="5" t="inlineStr">
        <is>
          <t>제품A</t>
        </is>
      </c>
      <c r="D5" s="4" t="inlineStr">
        <is>
          <t>PR-10</t>
        </is>
      </c>
      <c r="E5" s="5" t="inlineStr">
        <is>
          <t>원자재투입</t>
        </is>
      </c>
      <c r="F5" s="7" t="n">
        <v>90000</v>
      </c>
      <c r="G5" s="6" t="n">
        <v>0.5</v>
      </c>
      <c r="H5" s="7" t="n">
        <v>25000</v>
      </c>
      <c r="I5" s="8">
        <f>G5*H5</f>
        <v/>
      </c>
      <c r="J5" s="7" t="n">
        <v>12500</v>
      </c>
      <c r="K5" s="8">
        <f>F5+I5+J5</f>
        <v/>
      </c>
      <c r="L5" s="5" t="inlineStr"/>
    </row>
    <row r="6" ht="18" customHeight="1">
      <c r="A6" s="4" t="n">
        <v>2</v>
      </c>
      <c r="B6" s="4" t="inlineStr">
        <is>
          <t>P-001</t>
        </is>
      </c>
      <c r="C6" s="5" t="inlineStr">
        <is>
          <t>제품A</t>
        </is>
      </c>
      <c r="D6" s="4" t="inlineStr">
        <is>
          <t>PR-20</t>
        </is>
      </c>
      <c r="E6" s="5" t="inlineStr">
        <is>
          <t>가공</t>
        </is>
      </c>
      <c r="F6" s="7" t="n">
        <v>15000</v>
      </c>
      <c r="G6" s="6" t="n">
        <v>2</v>
      </c>
      <c r="H6" s="7" t="n">
        <v>30000</v>
      </c>
      <c r="I6" s="8">
        <f>G6*H6</f>
        <v/>
      </c>
      <c r="J6" s="7" t="n">
        <v>60000</v>
      </c>
      <c r="K6" s="8">
        <f>F6+I6+J6</f>
        <v/>
      </c>
      <c r="L6" s="5" t="inlineStr"/>
    </row>
    <row r="7" ht="18" customHeight="1">
      <c r="A7" s="4" t="n">
        <v>3</v>
      </c>
      <c r="B7" s="4" t="inlineStr">
        <is>
          <t>P-001</t>
        </is>
      </c>
      <c r="C7" s="5" t="inlineStr">
        <is>
          <t>제품A</t>
        </is>
      </c>
      <c r="D7" s="4" t="inlineStr">
        <is>
          <t>PR-30</t>
        </is>
      </c>
      <c r="E7" s="5" t="inlineStr">
        <is>
          <t>조립</t>
        </is>
      </c>
      <c r="F7" s="7" t="n">
        <v>0</v>
      </c>
      <c r="G7" s="6" t="n">
        <v>1.5</v>
      </c>
      <c r="H7" s="7" t="n">
        <v>28000</v>
      </c>
      <c r="I7" s="8">
        <f>G7*H7</f>
        <v/>
      </c>
      <c r="J7" s="7" t="n">
        <v>42000</v>
      </c>
      <c r="K7" s="8">
        <f>F7+I7+J7</f>
        <v/>
      </c>
      <c r="L7" s="5" t="inlineStr"/>
    </row>
    <row r="8" ht="18" customHeight="1">
      <c r="A8" s="4" t="n">
        <v>4</v>
      </c>
      <c r="B8" s="4" t="inlineStr">
        <is>
          <t>P-001</t>
        </is>
      </c>
      <c r="C8" s="5" t="inlineStr">
        <is>
          <t>제품A</t>
        </is>
      </c>
      <c r="D8" s="4" t="inlineStr">
        <is>
          <t>PR-40</t>
        </is>
      </c>
      <c r="E8" s="5" t="inlineStr">
        <is>
          <t>검사</t>
        </is>
      </c>
      <c r="F8" s="7" t="n">
        <v>0</v>
      </c>
      <c r="G8" s="6" t="n">
        <v>0.5</v>
      </c>
      <c r="H8" s="7" t="n">
        <v>35000</v>
      </c>
      <c r="I8" s="8">
        <f>G8*H8</f>
        <v/>
      </c>
      <c r="J8" s="7" t="n">
        <v>17500</v>
      </c>
      <c r="K8" s="8">
        <f>F8+I8+J8</f>
        <v/>
      </c>
      <c r="L8" s="5" t="inlineStr"/>
    </row>
    <row r="9" ht="18" customHeight="1">
      <c r="A9" s="4" t="n">
        <v>5</v>
      </c>
      <c r="B9" s="4" t="inlineStr">
        <is>
          <t>P-002</t>
        </is>
      </c>
      <c r="C9" s="5" t="inlineStr">
        <is>
          <t>제품B</t>
        </is>
      </c>
      <c r="D9" s="4" t="inlineStr">
        <is>
          <t>PR-20</t>
        </is>
      </c>
      <c r="E9" s="5" t="inlineStr">
        <is>
          <t>가공</t>
        </is>
      </c>
      <c r="F9" s="7" t="n">
        <v>20000</v>
      </c>
      <c r="G9" s="6" t="n">
        <v>3</v>
      </c>
      <c r="H9" s="7" t="n">
        <v>30000</v>
      </c>
      <c r="I9" s="8">
        <f>G9*H9</f>
        <v/>
      </c>
      <c r="J9" s="7" t="n">
        <v>90000</v>
      </c>
      <c r="K9" s="8">
        <f>F9+I9+J9</f>
        <v/>
      </c>
      <c r="L9" s="5" t="inlineStr"/>
    </row>
    <row r="10" ht="22" customHeight="1">
      <c r="A10" s="9" t="inlineStr">
        <is>
          <t>합  계</t>
        </is>
      </c>
      <c r="B10" s="10" t="n"/>
      <c r="C10" s="10" t="n"/>
      <c r="D10" s="10" t="n"/>
      <c r="E10" s="10" t="n"/>
      <c r="F10" s="11">
        <f>SUM(F5:F9)</f>
        <v/>
      </c>
      <c r="G10" s="12">
        <f>SUM(G5:G9)</f>
        <v/>
      </c>
      <c r="H10" s="10" t="n"/>
      <c r="I10" s="11">
        <f>SUM(I5:I9)</f>
        <v/>
      </c>
      <c r="J10" s="11">
        <f>SUM(J5:J9)</f>
        <v/>
      </c>
      <c r="K10" s="11">
        <f>SUM(K5:K9)</f>
        <v/>
      </c>
      <c r="L10" s="10" t="n"/>
    </row>
  </sheetData>
  <mergeCells count="3">
    <mergeCell ref="A2:L2"/>
    <mergeCell ref="A10:E10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4" customWidth="1" min="9" max="9"/>
    <col width="16" customWidth="1" min="10" max="10"/>
  </cols>
  <sheetData>
    <row r="1" ht="32" customHeight="1">
      <c r="A1" s="1" t="inlineStr">
        <is>
          <t>표준원가 집계표 — 원가관리팀 취합</t>
        </is>
      </c>
    </row>
    <row r="2" ht="20" customHeight="1">
      <c r="A2" s="2" t="inlineStr">
        <is>
          <t xml:space="preserve">  ※ 작성 안내: 직접재료비/노무비/간접비 합계와 생산수량을 입력하세요. 제조원가합계(=재료비+노무비+간접비)와 단위당원가는 자동 계산됩니다.</t>
        </is>
      </c>
    </row>
    <row r="3" ht="6" customHeight="1"/>
    <row r="4" ht="28" customHeight="1">
      <c r="A4" s="3" t="inlineStr">
        <is>
          <t>순번</t>
        </is>
      </c>
      <c r="B4" s="3" t="inlineStr">
        <is>
          <t>제품코드</t>
        </is>
      </c>
      <c r="C4" s="3" t="inlineStr">
        <is>
          <t>제품명</t>
        </is>
      </c>
      <c r="D4" s="3" t="inlineStr">
        <is>
          <t>직접재료비합계(원)</t>
        </is>
      </c>
      <c r="E4" s="3" t="inlineStr">
        <is>
          <t>직접노무비합계(원)</t>
        </is>
      </c>
      <c r="F4" s="3" t="inlineStr">
        <is>
          <t>제조간접비합계(원)</t>
        </is>
      </c>
      <c r="G4" s="3" t="inlineStr">
        <is>
          <t>제조원가합계(원)</t>
        </is>
      </c>
      <c r="H4" s="3" t="inlineStr">
        <is>
          <t>생산수량(개)</t>
        </is>
      </c>
      <c r="I4" s="3" t="inlineStr">
        <is>
          <t>단위당원가(원)</t>
        </is>
      </c>
      <c r="J4" s="3" t="inlineStr">
        <is>
          <t>비고</t>
        </is>
      </c>
    </row>
    <row r="5" ht="18" customHeight="1">
      <c r="A5" s="4" t="n">
        <v>1</v>
      </c>
      <c r="B5" s="4" t="inlineStr">
        <is>
          <t>P-001</t>
        </is>
      </c>
      <c r="C5" s="5" t="inlineStr">
        <is>
          <t>제품A</t>
        </is>
      </c>
      <c r="D5" s="7" t="n">
        <v>90000</v>
      </c>
      <c r="E5" s="7" t="n">
        <v>132000</v>
      </c>
      <c r="F5" s="7" t="n">
        <v>82000</v>
      </c>
      <c r="G5" s="8">
        <f>D5+E5+F5</f>
        <v/>
      </c>
      <c r="H5" s="7" t="n">
        <v>100</v>
      </c>
      <c r="I5" s="13">
        <f>IF(H5&gt;0,G5/H5,0)</f>
        <v/>
      </c>
      <c r="J5" s="5" t="inlineStr"/>
    </row>
    <row r="6" ht="18" customHeight="1">
      <c r="A6" s="4" t="n">
        <v>2</v>
      </c>
      <c r="B6" s="4" t="inlineStr">
        <is>
          <t>P-002</t>
        </is>
      </c>
      <c r="C6" s="5" t="inlineStr">
        <is>
          <t>제품B</t>
        </is>
      </c>
      <c r="D6" s="7" t="n">
        <v>20000</v>
      </c>
      <c r="E6" s="7" t="n">
        <v>90000</v>
      </c>
      <c r="F6" s="7" t="n">
        <v>55000</v>
      </c>
      <c r="G6" s="8">
        <f>D6+E6+F6</f>
        <v/>
      </c>
      <c r="H6" s="7" t="n">
        <v>50</v>
      </c>
      <c r="I6" s="13">
        <f>IF(H6&gt;0,G6/H6,0)</f>
        <v/>
      </c>
      <c r="J6" s="5" t="inlineStr"/>
    </row>
    <row r="7" ht="18" customHeight="1">
      <c r="A7" s="4" t="n">
        <v>3</v>
      </c>
      <c r="B7" s="4" t="inlineStr">
        <is>
          <t>P-003</t>
        </is>
      </c>
      <c r="C7" s="5" t="inlineStr">
        <is>
          <t>제품C</t>
        </is>
      </c>
      <c r="D7" s="7" t="n">
        <v>50000</v>
      </c>
      <c r="E7" s="7" t="n">
        <v>60000</v>
      </c>
      <c r="F7" s="7" t="n">
        <v>40000</v>
      </c>
      <c r="G7" s="8">
        <f>D7+E7+F7</f>
        <v/>
      </c>
      <c r="H7" s="7" t="n">
        <v>80</v>
      </c>
      <c r="I7" s="13">
        <f>IF(H7&gt;0,G7/H7,0)</f>
        <v/>
      </c>
      <c r="J7" s="5" t="inlineStr"/>
    </row>
    <row r="8" ht="22" customHeight="1">
      <c r="A8" s="9" t="inlineStr">
        <is>
          <t>합  계</t>
        </is>
      </c>
      <c r="B8" s="10" t="n"/>
      <c r="C8" s="10" t="n"/>
      <c r="D8" s="11">
        <f>SUM(D5:D7)</f>
        <v/>
      </c>
      <c r="E8" s="11">
        <f>SUM(E5:E7)</f>
        <v/>
      </c>
      <c r="F8" s="11">
        <f>SUM(F5:F7)</f>
        <v/>
      </c>
      <c r="G8" s="11">
        <f>SUM(G5:G7)</f>
        <v/>
      </c>
      <c r="H8" s="11">
        <f>SUM(H5:H7)</f>
        <v/>
      </c>
      <c r="I8" s="10" t="n"/>
      <c r="J8" s="10" t="n"/>
    </row>
  </sheetData>
  <mergeCells count="3">
    <mergeCell ref="A1:J1"/>
    <mergeCell ref="A8:C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2026-06-11T00:02:08Z</dcterms:created>
  <dcterms:modified xsi:type="dcterms:W3CDTF">2026-06-11T00:02:08Z</dcterms:modified>
</cp:coreProperties>
</file>